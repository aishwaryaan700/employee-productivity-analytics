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516547d20167c5/Documents/"/>
    </mc:Choice>
  </mc:AlternateContent>
  <xr:revisionPtr revIDLastSave="548" documentId="8_{F316E49F-D74B-451A-8448-95661E2DDE2A}" xr6:coauthVersionLast="47" xr6:coauthVersionMax="47" xr10:uidLastSave="{F1EF9F29-831C-4CC4-A4BD-CEBD97D82CAC}"/>
  <bookViews>
    <workbookView xWindow="-110" yWindow="-110" windowWidth="19420" windowHeight="10300" firstSheet="2" activeTab="2" xr2:uid="{99DE6BB1-370D-4D37-ACA5-FE074E59E49B}"/>
  </bookViews>
  <sheets>
    <sheet name="Team_Efficiency_Analysis" sheetId="2" r:id="rId1"/>
    <sheet name="Burnout_Risk_Analysis" sheetId="3" r:id="rId2"/>
    <sheet name="DashBoard" sheetId="4" r:id="rId3"/>
    <sheet name="Insights and Recommendations" sheetId="5" r:id="rId4"/>
    <sheet name="Employee_Data" sheetId="1" r:id="rId5"/>
  </sheets>
  <calcPr calcId="191029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1" l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3" i="1"/>
  <c r="J4" i="1"/>
  <c r="J5" i="1"/>
  <c r="J6" i="1"/>
  <c r="J7" i="1"/>
  <c r="J8" i="1"/>
  <c r="J9" i="1"/>
  <c r="J10" i="1"/>
  <c r="J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3" i="1"/>
  <c r="I4" i="1"/>
  <c r="I5" i="1"/>
  <c r="I6" i="1"/>
  <c r="I7" i="1"/>
  <c r="I8" i="1"/>
  <c r="I9" i="1"/>
  <c r="I10" i="1"/>
  <c r="I11" i="1"/>
  <c r="I12" i="1"/>
  <c r="I2" i="1"/>
</calcChain>
</file>

<file path=xl/sharedStrings.xml><?xml version="1.0" encoding="utf-8"?>
<sst xmlns="http://schemas.openxmlformats.org/spreadsheetml/2006/main" count="182" uniqueCount="85">
  <si>
    <t>EmployeeID</t>
  </si>
  <si>
    <t>Team</t>
  </si>
  <si>
    <t>Role</t>
  </si>
  <si>
    <t>HoursWorked</t>
  </si>
  <si>
    <t>TasksCompleted</t>
  </si>
  <si>
    <t>OverTimeHours</t>
  </si>
  <si>
    <t>LeaveDays</t>
  </si>
  <si>
    <t>PerformanceRating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</si>
  <si>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</si>
  <si>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</si>
  <si>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</si>
  <si>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</si>
  <si>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</si>
  <si>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</si>
  <si>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</si>
  <si>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</si>
  <si>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</si>
  <si>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</si>
  <si>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</si>
  <si>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</si>
  <si>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</si>
  <si>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</si>
  <si>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</si>
  <si>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</si>
  <si>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</si>
  <si>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</si>
  <si>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</si>
  <si>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</si>
  <si>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</si>
  <si>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</si>
  <si>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</si>
  <si>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</si>
  <si>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</si>
  <si>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</si>
  <si>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</si>
  <si>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</si>
  <si>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</si>
  <si>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</si>
  <si>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</si>
  <si>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</si>
  <si>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</si>
  <si>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</si>
  <si>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</si>
  <si>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</si>
  <si>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</si>
  <si>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</si>
  <si>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</si>
  <si>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</si>
  <si>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</si>
  <si>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</si>
  <si>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</si>
  <si>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</si>
  <si>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</si>
  <si>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</si>
  <si>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</si>
  <si>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</si>
  <si>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</si>
  <si>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</si>
  <si>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Sales</t>
  </si>
  <si>
    <t>Tech</t>
  </si>
  <si>
    <t>Operations</t>
  </si>
  <si>
    <t>tech</t>
  </si>
  <si>
    <t>HR</t>
  </si>
  <si>
    <t>Analyst</t>
  </si>
  <si>
    <t>Developer</t>
  </si>
  <si>
    <t>Manager</t>
  </si>
  <si>
    <t>Associate</t>
  </si>
  <si>
    <t>EfficiencyScore</t>
  </si>
  <si>
    <t>BurnoutRate</t>
  </si>
  <si>
    <t>Row Labels</t>
  </si>
  <si>
    <t>Grand Total</t>
  </si>
  <si>
    <t>High risk</t>
  </si>
  <si>
    <t>Normal</t>
  </si>
  <si>
    <t>Average Efficiency by Team</t>
  </si>
  <si>
    <t>Employee Burnout Risk Distribution</t>
  </si>
  <si>
    <t>Key Insights</t>
  </si>
  <si>
    <t>1. The Tech team shows the lowest average efficiency compared to other teams, indicating possible workload imbalance or process inefficiencies.</t>
  </si>
  <si>
    <t>4.Continued workload imbalance and burnout risk may negatively impact long-term productivity and employee retention.</t>
  </si>
  <si>
    <t>2.HR, Operations, and Sales teams display similar efficiency levels, suggesting relatively balanced task distribution among these teams.</t>
  </si>
  <si>
    <t>3. 18 out of 50 employees are classified as high burnout risk, highlighting potential overwork and sustainability concerns.</t>
  </si>
  <si>
    <t>Recommendations</t>
  </si>
  <si>
    <t>1.Rebalance workload within the Tech team to improve efficiency.</t>
  </si>
  <si>
    <t>2.Monitor overtime hours to proactively reduce burnout risk.</t>
  </si>
  <si>
    <t>3.Conduct periodic workload reviews to maintain balanced task distribution.</t>
  </si>
  <si>
    <t>4.Introduce employee wellness initiatives to support long-term productivity.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</si>
</sst>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[employee_productivity.xlsx]Team_Efficiency_Analysis!PivotTable1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Team_Efficiency_Analysis!$B$3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Team_Efficiency_Analysis!$A$4:$A$8</c:f>
              <c:strCache>
                <c:ptCount val="4"/>
                <c:pt idx="0">
                  <c:v>HR</c:v>
                </c:pt>
                <c:pt idx="1">
                  <c:v>Operations</c:v>
                </c:pt>
                <c:pt idx="2">
                  <c:v>Sales</c:v>
                </c:pt>
                <c:pt idx="3">
                  <c:v>Tech</c:v>
                </c:pt>
              </c:strCache>
            </c:strRef>
          </c:cat>
          <c:val>
            <c:numRef>
              <c:f>Team_Efficiency_Analysis!$B$4:$B$8</c:f>
              <c:numCache>
                <c:formatCode>General</c:formatCode>
                <c:ptCount val="4"/>
                <c:pt idx="0">
                  <c:v>0.393835465708057</c:v>
                </c:pt>
                <c:pt idx="1">
                  <c:v>0.39790104407048033</c:v>
                </c:pt>
                <c:pt idx="2">
                  <c:v>0.39681239160017912</c:v>
                </c:pt>
                <c:pt idx="3">
                  <c:v>0.38015618194538703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C-48A2-A542-30CB54456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38212207"/>
        <c:axId val="1338214127"/>
        <c:axId val="0"/>
      </c:bar3DChart>
      <c:catAx>
        <c:axId val="133821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214127"/>
        <c:crosses val="autoZero"/>
        <c:auto val="1"/>
        <c:lblAlgn val="ctr"/>
        <c:lblOffset val="100"/>
        <c:noMultiLvlLbl val="0"/>
      </c:catAx>
      <c:valAx>
        <c:axId val="133821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212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[employee_productivity.xlsx]Burnout_Risk_Analysis!PivotTable2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Burnout_Risk_Analysis!$B$3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AC-46B6-AC43-D6FFBC7D84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AC-46B6-AC43-D6FFBC7D8401}"/>
              </c:ext>
            </c:extLst>
          </c:dPt>
          <c:cat>
            <c:strRef>
              <c:f>Burnout_Risk_Analysis!$A$4:$A$6</c:f>
              <c:strCache>
                <c:ptCount val="2"/>
                <c:pt idx="0">
                  <c:v>High risk</c:v>
                </c:pt>
                <c:pt idx="1">
                  <c:v>Normal</c:v>
                </c:pt>
              </c:strCache>
            </c:strRef>
          </c:cat>
          <c:val>
            <c:numRef>
              <c:f>Burnout_Risk_Analysis!$B$4:$B$6</c:f>
              <c:numCache>
                <c:formatCode>General</c:formatCode>
                <c:ptCount val="2"/>
                <c:pt idx="0">
                  <c:v>18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AC-46B6-AC43-D6FFBC7D8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12700</xdr:rowOff>
    </xdr:from>
    <xdr:to>
      <xdr:col>10</xdr:col>
      <xdr:colOff>304800</xdr:colOff>
      <xdr:row>18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55552B-45A1-4817-8EE6-C04DFCD8E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6350</xdr:colOff>
      <xdr:row>4</xdr:row>
      <xdr:rowOff>12700</xdr:rowOff>
    </xdr:from>
    <xdr:to>
      <xdr:col>18</xdr:col>
      <xdr:colOff>260350</xdr:colOff>
      <xdr:row>18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00357C-0E67-482A-B02F-C83CADF042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88900</xdr:colOff>
      <xdr:row>6</xdr:row>
      <xdr:rowOff>177800</xdr:rowOff>
    </xdr:from>
    <xdr:to>
      <xdr:col>2</xdr:col>
      <xdr:colOff>298450</xdr:colOff>
      <xdr:row>11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2E7E472-2B92-6A54-0C1F-88BCD7A3FE31}"/>
            </a:ext>
          </a:extLst>
        </xdr:cNvPr>
        <xdr:cNvSpPr txBox="1"/>
      </xdr:nvSpPr>
      <xdr:spPr>
        <a:xfrm>
          <a:off x="88900" y="1282700"/>
          <a:ext cx="1428750" cy="742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Total</a:t>
          </a:r>
          <a:r>
            <a:rPr lang="en-IN" sz="1100" baseline="0"/>
            <a:t> Employees</a:t>
          </a:r>
        </a:p>
        <a:p>
          <a:r>
            <a:rPr lang="en-IN" sz="2800" b="1" baseline="0"/>
            <a:t>50</a:t>
          </a:r>
          <a:endParaRPr lang="en-IN" sz="2800" b="1"/>
        </a:p>
      </xdr:txBody>
    </xdr:sp>
    <xdr:clientData/>
  </xdr:twoCellAnchor>
  <xdr:twoCellAnchor>
    <xdr:from>
      <xdr:col>0</xdr:col>
      <xdr:colOff>88900</xdr:colOff>
      <xdr:row>11</xdr:row>
      <xdr:rowOff>6350</xdr:rowOff>
    </xdr:from>
    <xdr:to>
      <xdr:col>2</xdr:col>
      <xdr:colOff>317500</xdr:colOff>
      <xdr:row>14</xdr:row>
      <xdr:rowOff>165100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C7DA0EA-72BA-ED01-81DF-F4FDF6EBDBAD}"/>
            </a:ext>
          </a:extLst>
        </xdr:cNvPr>
        <xdr:cNvSpPr txBox="1"/>
      </xdr:nvSpPr>
      <xdr:spPr>
        <a:xfrm>
          <a:off x="88900" y="2032000"/>
          <a:ext cx="1447800" cy="711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Overall Avg Efficiency</a:t>
          </a:r>
        </a:p>
        <a:p>
          <a:r>
            <a:rPr lang="en-IN" sz="2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0.39</a:t>
          </a:r>
          <a:endParaRPr lang="en-IN" sz="2800" b="1"/>
        </a:p>
      </xdr:txBody>
    </xdr:sp>
    <xdr:clientData/>
  </xdr:twoCellAnchor>
  <xdr:twoCellAnchor>
    <xdr:from>
      <xdr:col>0</xdr:col>
      <xdr:colOff>88900</xdr:colOff>
      <xdr:row>14</xdr:row>
      <xdr:rowOff>171450</xdr:rowOff>
    </xdr:from>
    <xdr:to>
      <xdr:col>2</xdr:col>
      <xdr:colOff>317500</xdr:colOff>
      <xdr:row>19</xdr:row>
      <xdr:rowOff>6350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A0A7E89-BCDE-1239-CA7B-25CE43A437F6}"/>
            </a:ext>
          </a:extLst>
        </xdr:cNvPr>
        <xdr:cNvSpPr txBox="1"/>
      </xdr:nvSpPr>
      <xdr:spPr>
        <a:xfrm>
          <a:off x="88900" y="2749550"/>
          <a:ext cx="1447800" cy="755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High Rsk Employees </a:t>
          </a:r>
        </a:p>
        <a:p>
          <a:r>
            <a:rPr lang="en-IN" sz="2800" b="1"/>
            <a:t>18</a:t>
          </a:r>
        </a:p>
      </xdr:txBody>
    </xdr:sp>
    <xdr:clientData/>
  </xdr:twoCellAnchor>
  <xdr:twoCellAnchor>
    <xdr:from>
      <xdr:col>5</xdr:col>
      <xdr:colOff>406400</xdr:colOff>
      <xdr:row>0</xdr:row>
      <xdr:rowOff>133350</xdr:rowOff>
    </xdr:from>
    <xdr:to>
      <xdr:col>14</xdr:col>
      <xdr:colOff>590550</xdr:colOff>
      <xdr:row>3</xdr:row>
      <xdr:rowOff>63500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1641242-3F7D-FCC9-2BA3-D7B97D4595E0}"/>
            </a:ext>
          </a:extLst>
        </xdr:cNvPr>
        <xdr:cNvSpPr txBox="1"/>
      </xdr:nvSpPr>
      <xdr:spPr>
        <a:xfrm>
          <a:off x="3454400" y="133350"/>
          <a:ext cx="5670550" cy="482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/>
            <a:t>Employee Productivity and</a:t>
          </a:r>
          <a:r>
            <a:rPr lang="en-IN" sz="2000" b="1" baseline="0"/>
            <a:t> Workload Optimization</a:t>
          </a:r>
          <a:endParaRPr lang="en-IN" sz="20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shwarya AN" refreshedDate="46043.716128125001" createdVersion="8" refreshedVersion="8" minRefreshableVersion="3" recordCount="50" xr:uid="{0D02AE4C-D0FA-47B5-B50C-C1C13A37ABBD}">
  <cacheSource type="worksheet">
    <worksheetSource ref="A1:J51" sheet="Employee_Data"/>
  </cacheSource>
  <cacheFields count="10">
    <cacheField name="EmployeeID" numFmtId="0">
      <sharedItems/>
    </cacheField>
    <cacheField name="Team" numFmtId="0">
      <sharedItems count="4">
        <s v="Sales"/>
        <s v="Tech"/>
        <s v="Operations"/>
        <s v="HR"/>
      </sharedItems>
    </cacheField>
    <cacheField name="Role" numFmtId="0">
      <sharedItems/>
    </cacheField>
    <cacheField name="HoursWorked" numFmtId="0">
      <sharedItems containsSemiMixedTypes="0" containsString="0" containsNumber="1" containsInteger="1" minValue="37" maxValue="64"/>
    </cacheField>
    <cacheField name="TasksCompleted" numFmtId="0">
      <sharedItems containsSemiMixedTypes="0" containsString="0" containsNumber="1" containsInteger="1" minValue="11" maxValue="28"/>
    </cacheField>
    <cacheField name="OverTimeHours" numFmtId="0">
      <sharedItems containsSemiMixedTypes="0" containsString="0" containsNumber="1" containsInteger="1" minValue="0" maxValue="19"/>
    </cacheField>
    <cacheField name="LeaveDays" numFmtId="0">
      <sharedItems containsSemiMixedTypes="0" containsString="0" containsNumber="1" containsInteger="1" minValue="0" maxValue="3"/>
    </cacheField>
    <cacheField name="PerformanceRating" numFmtId="0">
      <sharedItems containsSemiMixedTypes="0" containsString="0" containsNumber="1" minValue="1.5" maxValue="5"/>
    </cacheField>
    <cacheField name="EfficiencyScore" numFmtId="0">
      <sharedItems containsSemiMixedTypes="0" containsString="0" containsNumber="1" minValue="0.28205128205128205" maxValue="0.5"/>
    </cacheField>
    <cacheField name="BurnoutRate" numFmtId="0">
      <sharedItems count="2">
        <s v="Normal"/>
        <s v="High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E01"/>
    <x v="0"/>
    <s v="Analyst"/>
    <n v="45"/>
    <n v="18"/>
    <n v="2"/>
    <n v="2"/>
    <n v="3"/>
    <n v="0.4"/>
    <x v="0"/>
  </r>
  <r>
    <s v="E02"/>
    <x v="1"/>
    <s v="Developer"/>
    <n v="47"/>
    <n v="19"/>
    <n v="5"/>
    <n v="2"/>
    <n v="3.2"/>
    <n v="0.40425531914893614"/>
    <x v="0"/>
  </r>
  <r>
    <s v="E03"/>
    <x v="2"/>
    <s v="Manager"/>
    <n v="39"/>
    <n v="12"/>
    <n v="0"/>
    <n v="3"/>
    <n v="1.9"/>
    <n v="0.30769230769230771"/>
    <x v="0"/>
  </r>
  <r>
    <s v="E04"/>
    <x v="0"/>
    <s v="Manager"/>
    <n v="40"/>
    <n v="12"/>
    <n v="2"/>
    <n v="2"/>
    <n v="3"/>
    <n v="0.3"/>
    <x v="0"/>
  </r>
  <r>
    <s v="E05"/>
    <x v="0"/>
    <s v="Associate"/>
    <n v="60"/>
    <n v="26"/>
    <n v="12"/>
    <n v="0"/>
    <n v="4.7"/>
    <n v="0.43333333333333335"/>
    <x v="1"/>
  </r>
  <r>
    <s v="E06"/>
    <x v="0"/>
    <s v="Associate"/>
    <n v="39"/>
    <n v="11"/>
    <n v="2"/>
    <n v="3"/>
    <n v="2"/>
    <n v="0.28205128205128205"/>
    <x v="0"/>
  </r>
  <r>
    <s v="E07"/>
    <x v="1"/>
    <s v="Developer"/>
    <n v="45"/>
    <n v="19"/>
    <n v="7"/>
    <n v="2"/>
    <n v="3"/>
    <n v="0.42222222222222222"/>
    <x v="0"/>
  </r>
  <r>
    <s v="E08"/>
    <x v="0"/>
    <s v="Manager"/>
    <n v="55"/>
    <n v="22"/>
    <n v="10"/>
    <n v="1"/>
    <n v="4"/>
    <n v="0.4"/>
    <x v="0"/>
  </r>
  <r>
    <s v="E09"/>
    <x v="3"/>
    <s v="Associate"/>
    <n v="57"/>
    <n v="24"/>
    <n v="12"/>
    <n v="1"/>
    <n v="4.0999999999999996"/>
    <n v="0.42105263157894735"/>
    <x v="1"/>
  </r>
  <r>
    <s v="E10"/>
    <x v="2"/>
    <s v="Manager"/>
    <n v="56"/>
    <n v="24"/>
    <n v="12"/>
    <n v="1"/>
    <n v="4"/>
    <n v="0.42857142857142855"/>
    <x v="1"/>
  </r>
  <r>
    <s v="E11"/>
    <x v="1"/>
    <s v="Analyst"/>
    <n v="53"/>
    <n v="23"/>
    <n v="9"/>
    <n v="1"/>
    <n v="3.9"/>
    <n v="0.43396226415094341"/>
    <x v="0"/>
  </r>
  <r>
    <s v="E12"/>
    <x v="1"/>
    <s v="Analyst"/>
    <n v="62"/>
    <n v="27"/>
    <n v="17"/>
    <n v="0"/>
    <n v="4.8"/>
    <n v="0.43548387096774194"/>
    <x v="1"/>
  </r>
  <r>
    <s v="E13"/>
    <x v="0"/>
    <s v="Associate"/>
    <n v="60"/>
    <n v="25"/>
    <n v="15"/>
    <n v="0"/>
    <n v="4.5"/>
    <n v="0.41666666666666669"/>
    <x v="1"/>
  </r>
  <r>
    <s v="E14"/>
    <x v="3"/>
    <s v="Manager"/>
    <n v="39"/>
    <n v="11"/>
    <n v="0"/>
    <n v="3"/>
    <n v="2.2000000000000002"/>
    <n v="0.28205128205128205"/>
    <x v="0"/>
  </r>
  <r>
    <s v="E15"/>
    <x v="2"/>
    <s v="Analyst"/>
    <n v="60"/>
    <n v="20"/>
    <n v="15"/>
    <n v="1"/>
    <n v="4.5"/>
    <n v="0.33333333333333331"/>
    <x v="1"/>
  </r>
  <r>
    <s v="E16"/>
    <x v="2"/>
    <s v="Associate"/>
    <n v="59"/>
    <n v="22"/>
    <n v="15"/>
    <n v="1"/>
    <n v="4.5"/>
    <n v="0.3728813559322034"/>
    <x v="1"/>
  </r>
  <r>
    <s v="E17"/>
    <x v="1"/>
    <s v="Developer"/>
    <n v="57"/>
    <n v="20"/>
    <n v="13"/>
    <n v="1"/>
    <n v="4.0999999999999996"/>
    <n v="0.35087719298245612"/>
    <x v="1"/>
  </r>
  <r>
    <s v="E18"/>
    <x v="1"/>
    <s v="Analyst"/>
    <n v="51"/>
    <n v="20"/>
    <n v="8"/>
    <n v="2"/>
    <n v="3.8"/>
    <n v="0.39215686274509803"/>
    <x v="0"/>
  </r>
  <r>
    <s v="E19"/>
    <x v="0"/>
    <s v="Analyst"/>
    <n v="41"/>
    <n v="15"/>
    <n v="2"/>
    <n v="2"/>
    <n v="2.6"/>
    <n v="0.36585365853658536"/>
    <x v="0"/>
  </r>
  <r>
    <s v="E20"/>
    <x v="0"/>
    <s v="Manager"/>
    <n v="49"/>
    <n v="18"/>
    <n v="8"/>
    <n v="2"/>
    <n v="3.8"/>
    <n v="0.36734693877551022"/>
    <x v="0"/>
  </r>
  <r>
    <s v="E21"/>
    <x v="3"/>
    <s v="Associate"/>
    <n v="39"/>
    <n v="15"/>
    <n v="3"/>
    <n v="3"/>
    <n v="1.9"/>
    <n v="0.38461538461538464"/>
    <x v="0"/>
  </r>
  <r>
    <s v="E22"/>
    <x v="3"/>
    <s v="Analyst"/>
    <n v="49"/>
    <n v="18"/>
    <n v="7"/>
    <n v="2"/>
    <n v="3.9"/>
    <n v="0.36734693877551022"/>
    <x v="0"/>
  </r>
  <r>
    <s v="E23"/>
    <x v="0"/>
    <s v="Analyst"/>
    <n v="63"/>
    <n v="28"/>
    <n v="18"/>
    <n v="0"/>
    <n v="4.7"/>
    <n v="0.44444444444444442"/>
    <x v="1"/>
  </r>
  <r>
    <s v="E24"/>
    <x v="2"/>
    <s v="Manager"/>
    <n v="53"/>
    <n v="19"/>
    <n v="9"/>
    <n v="1"/>
    <n v="4.0999999999999996"/>
    <n v="0.35849056603773582"/>
    <x v="0"/>
  </r>
  <r>
    <s v="E25"/>
    <x v="1"/>
    <s v="Manager"/>
    <n v="57"/>
    <n v="19"/>
    <n v="12"/>
    <n v="0"/>
    <n v="4.2"/>
    <n v="0.33333333333333331"/>
    <x v="1"/>
  </r>
  <r>
    <s v="E26"/>
    <x v="0"/>
    <s v="Analyst"/>
    <n v="64"/>
    <n v="28"/>
    <n v="19"/>
    <n v="0"/>
    <n v="4.9000000000000004"/>
    <n v="0.4375"/>
    <x v="1"/>
  </r>
  <r>
    <s v="E27"/>
    <x v="0"/>
    <s v="Associate"/>
    <n v="39"/>
    <n v="16"/>
    <n v="3"/>
    <n v="2"/>
    <n v="2.2999999999999998"/>
    <n v="0.41025641025641024"/>
    <x v="0"/>
  </r>
  <r>
    <s v="E28"/>
    <x v="2"/>
    <s v="Manager"/>
    <n v="42"/>
    <n v="17"/>
    <n v="4"/>
    <n v="2"/>
    <n v="3.4"/>
    <n v="0.40476190476190477"/>
    <x v="0"/>
  </r>
  <r>
    <s v="E29"/>
    <x v="3"/>
    <s v="Manager"/>
    <n v="55"/>
    <n v="20"/>
    <n v="13"/>
    <n v="1"/>
    <n v="3.9"/>
    <n v="0.36363636363636365"/>
    <x v="1"/>
  </r>
  <r>
    <s v="E30"/>
    <x v="2"/>
    <s v="Associate"/>
    <n v="45"/>
    <n v="18"/>
    <n v="5"/>
    <n v="2"/>
    <n v="3.5"/>
    <n v="0.4"/>
    <x v="0"/>
  </r>
  <r>
    <s v="E31"/>
    <x v="1"/>
    <s v="Developer"/>
    <n v="60"/>
    <n v="23"/>
    <n v="17"/>
    <n v="0"/>
    <n v="4.5"/>
    <n v="0.38333333333333336"/>
    <x v="1"/>
  </r>
  <r>
    <s v="E32"/>
    <x v="3"/>
    <s v="Associate"/>
    <n v="42"/>
    <n v="19"/>
    <n v="4"/>
    <n v="2"/>
    <n v="3.8"/>
    <n v="0.45238095238095238"/>
    <x v="0"/>
  </r>
  <r>
    <s v="E33"/>
    <x v="3"/>
    <s v="Analyst"/>
    <n v="47"/>
    <n v="19"/>
    <n v="7"/>
    <n v="2"/>
    <n v="3.9"/>
    <n v="0.40425531914893614"/>
    <x v="0"/>
  </r>
  <r>
    <s v="E34"/>
    <x v="3"/>
    <s v="Associate"/>
    <n v="56"/>
    <n v="22"/>
    <n v="12"/>
    <n v="1"/>
    <n v="4"/>
    <n v="0.39285714285714285"/>
    <x v="1"/>
  </r>
  <r>
    <s v="E35"/>
    <x v="0"/>
    <s v="Manager"/>
    <n v="43"/>
    <n v="19"/>
    <n v="4"/>
    <n v="2"/>
    <n v="3.5"/>
    <n v="0.44186046511627908"/>
    <x v="0"/>
  </r>
  <r>
    <s v="E36"/>
    <x v="1"/>
    <s v="Developer"/>
    <n v="52"/>
    <n v="22"/>
    <n v="12"/>
    <n v="1"/>
    <n v="3.9"/>
    <n v="0.42307692307692307"/>
    <x v="1"/>
  </r>
  <r>
    <s v="E37"/>
    <x v="1"/>
    <s v="Developer"/>
    <n v="37"/>
    <n v="11"/>
    <n v="0"/>
    <n v="3"/>
    <n v="1.5"/>
    <n v="0.29729729729729731"/>
    <x v="0"/>
  </r>
  <r>
    <s v="E38"/>
    <x v="2"/>
    <s v="Associate"/>
    <n v="49"/>
    <n v="20"/>
    <n v="7"/>
    <n v="2"/>
    <n v="3.8"/>
    <n v="0.40816326530612246"/>
    <x v="0"/>
  </r>
  <r>
    <s v="E39"/>
    <x v="0"/>
    <s v="Analyst"/>
    <n v="48"/>
    <n v="21"/>
    <n v="5"/>
    <n v="2"/>
    <n v="3.8"/>
    <n v="0.4375"/>
    <x v="0"/>
  </r>
  <r>
    <s v="E40"/>
    <x v="3"/>
    <s v="Manager"/>
    <n v="54"/>
    <n v="23"/>
    <n v="9"/>
    <n v="3"/>
    <n v="4"/>
    <n v="0.42592592592592593"/>
    <x v="0"/>
  </r>
  <r>
    <s v="E41"/>
    <x v="3"/>
    <s v="Manager"/>
    <n v="44"/>
    <n v="19"/>
    <n v="5"/>
    <n v="2"/>
    <n v="3.5"/>
    <n v="0.43181818181818182"/>
    <x v="0"/>
  </r>
  <r>
    <s v="E42"/>
    <x v="1"/>
    <s v="Developer"/>
    <n v="48"/>
    <n v="16"/>
    <n v="7"/>
    <n v="1"/>
    <n v="3.7"/>
    <n v="0.33333333333333331"/>
    <x v="0"/>
  </r>
  <r>
    <s v="E43"/>
    <x v="1"/>
    <s v="Analyst"/>
    <n v="50"/>
    <n v="16"/>
    <n v="8"/>
    <n v="1"/>
    <n v="3.9"/>
    <n v="0.32"/>
    <x v="0"/>
  </r>
  <r>
    <s v="E44"/>
    <x v="2"/>
    <s v="Manager"/>
    <n v="44"/>
    <n v="22"/>
    <n v="6"/>
    <n v="1"/>
    <n v="3.2"/>
    <n v="0.5"/>
    <x v="0"/>
  </r>
  <r>
    <s v="E45"/>
    <x v="2"/>
    <s v="Manager"/>
    <n v="43"/>
    <n v="20"/>
    <n v="5"/>
    <n v="2"/>
    <n v="3.1"/>
    <n v="0.46511627906976744"/>
    <x v="0"/>
  </r>
  <r>
    <s v="E46"/>
    <x v="0"/>
    <s v="Associate"/>
    <n v="37"/>
    <n v="15"/>
    <n v="0"/>
    <n v="3"/>
    <n v="1.7"/>
    <n v="0.40540540540540543"/>
    <x v="0"/>
  </r>
  <r>
    <s v="E47"/>
    <x v="0"/>
    <s v="Analyst"/>
    <n v="55"/>
    <n v="22"/>
    <n v="10"/>
    <n v="1"/>
    <n v="4"/>
    <n v="0.4"/>
    <x v="0"/>
  </r>
  <r>
    <s v="E48"/>
    <x v="0"/>
    <s v="Associate"/>
    <n v="59"/>
    <n v="24"/>
    <n v="12"/>
    <n v="1"/>
    <n v="4.2"/>
    <n v="0.40677966101694918"/>
    <x v="1"/>
  </r>
  <r>
    <s v="E49"/>
    <x v="3"/>
    <s v="Analyst"/>
    <n v="64"/>
    <n v="26"/>
    <n v="19"/>
    <n v="0"/>
    <n v="5"/>
    <n v="0.40625"/>
    <x v="1"/>
  </r>
  <r>
    <s v="E50"/>
    <x v="1"/>
    <s v="Developer"/>
    <n v="63"/>
    <n v="26"/>
    <n v="17"/>
    <n v="0"/>
    <n v="4.9000000000000004"/>
    <n v="0.4126984126984126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40DCC-2D29-4ABA-A5E1-FEFFD248A28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8" firstHeaderRow="1" firstDataRow="1" firstDataCol="1"/>
  <pivotFields count="10"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Efficiency by Team" fld="8" subtotal="average" baseField="1" baseItem="0"/>
  </dataField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EB3B4-1E5B-4E77-9829-B7457A4CBF77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Employee Burnout Risk Distribution" fld="0" subtotal="count" baseField="9" baseItem="0"/>
  </dataField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301100-3D61-4C0D-8D46-9BA3B6D2B54D}" name="Table1" displayName="Table1" ref="A1:J51" totalsRowShown="0">
  <autoFilter ref="A1:J51" xr:uid="{19301100-3D61-4C0D-8D46-9BA3B6D2B54D}"/>
  <tableColumns count="10">
    <tableColumn id="1" xr3:uid="{94C9F461-3880-4464-9CFC-646DA054A542}" name="EmployeeID"/>
    <tableColumn id="2" xr3:uid="{FE181C03-581B-4291-91CF-1D58CC015812}" name="Team"/>
    <tableColumn id="3" xr3:uid="{9106B7D5-D2D3-4CAD-B5CF-638E4464F249}" name="Role"/>
    <tableColumn id="4" xr3:uid="{F5AB8BD8-5282-4D06-9750-CC7E2BD76DC9}" name="HoursWorked"/>
    <tableColumn id="5" xr3:uid="{74FEBADB-BC90-4B7B-8154-71C5379ED77A}" name="TasksCompleted"/>
    <tableColumn id="6" xr3:uid="{309D350B-CCB4-4F49-A9AE-27FB21B4E48F}" name="OverTimeHours"/>
    <tableColumn id="7" xr3:uid="{87DA72B6-0331-4BAA-81A1-F43979E318CA}" name="LeaveDays"/>
    <tableColumn id="8" xr3:uid="{1615C042-C1E9-4688-B458-F474C636DB2A}" name="PerformanceRating"/>
    <tableColumn id="9" xr3:uid="{D693405A-C252-494C-9025-7FE8D7E450A7}" name="EfficiencyScore">
      <calculatedColumnFormula>E2/D2</calculatedColumnFormula>
    </tableColumn>
    <tableColumn id="10" xr3:uid="{319EC2C2-B230-4DD7-B0A3-61C1A3F4E783}" name="BurnoutRate">
      <calculatedColumnFormula>IF(F2&gt;10,"High risk","Normal")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44355-EDCD-4637-B211-94766D47AB3A}">
  <dimension ref="A3:B8"/>
  <sheetViews>
    <sheetView workbookViewId="0">
      <selection activeCell="D16" sqref="D16"/>
    </sheetView>
  </sheetViews>
  <sheetFormatPr defaultRowHeight="14.5" x14ac:dyDescent="0.35"/>
  <cols>
    <col min="1" max="1" width="12.36328125" bestFit="1" customWidth="1"/>
    <col min="2" max="2" width="23.6328125" bestFit="1" customWidth="1"/>
  </cols>
  <sheetData>
    <row r="3" spans="1:2" x14ac:dyDescent="0.35">
      <c r="A3" s="1" t="s">
        <v>69</v>
      </c>
      <c r="B3" t="s">
        <v>73</v>
      </c>
    </row>
    <row r="4" spans="1:2" x14ac:dyDescent="0.35">
      <c r="A4" s="2" t="s">
        <v>62</v>
      </c>
      <c r="B4" s="3">
        <v>0.393835465708057</v>
      </c>
    </row>
    <row r="5" spans="1:2" x14ac:dyDescent="0.35">
      <c r="A5" s="2" t="s">
        <v>60</v>
      </c>
      <c r="B5" s="3">
        <v>0.39790104407048033</v>
      </c>
    </row>
    <row r="6" spans="1:2" x14ac:dyDescent="0.35">
      <c r="A6" s="2" t="s">
        <v>58</v>
      </c>
      <c r="B6" s="3">
        <v>0.39681239160017912</v>
      </c>
    </row>
    <row r="7" spans="1:2" x14ac:dyDescent="0.35">
      <c r="A7" s="2" t="s">
        <v>59</v>
      </c>
      <c r="B7" s="3">
        <v>0.38015618194538703</v>
      </c>
    </row>
    <row r="8" spans="1:2" x14ac:dyDescent="0.35">
      <c r="A8" s="2" t="s">
        <v>70</v>
      </c>
      <c r="B8" s="3">
        <v>0.39204458388772651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FDF0F-18FC-4AC1-8306-D9D60FE74A71}">
  <dimension ref="A3:B6"/>
  <sheetViews>
    <sheetView workbookViewId="0">
      <selection activeCell="B5" sqref="B5"/>
    </sheetView>
  </sheetViews>
  <sheetFormatPr defaultRowHeight="14.5" x14ac:dyDescent="0.35"/>
  <cols>
    <col min="1" max="1" width="12.36328125" bestFit="1" customWidth="1"/>
    <col min="2" max="2" width="31.08984375" bestFit="1" customWidth="1"/>
  </cols>
  <sheetData>
    <row r="3" spans="1:2" x14ac:dyDescent="0.35">
      <c r="A3" s="1" t="s">
        <v>69</v>
      </c>
      <c r="B3" t="s">
        <v>74</v>
      </c>
    </row>
    <row r="4" spans="1:2" x14ac:dyDescent="0.35">
      <c r="A4" s="2" t="s">
        <v>71</v>
      </c>
      <c r="B4" s="3">
        <v>18</v>
      </c>
    </row>
    <row r="5" spans="1:2" x14ac:dyDescent="0.35">
      <c r="A5" s="2" t="s">
        <v>72</v>
      </c>
      <c r="B5" s="3">
        <v>32</v>
      </c>
    </row>
    <row r="6" spans="1:2" x14ac:dyDescent="0.35">
      <c r="A6" s="2" t="s">
        <v>70</v>
      </c>
      <c r="B6" s="3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9309-43A9-447C-8E9F-7758D461DE5B}">
  <dimension ref="A1"/>
  <sheetViews>
    <sheetView tabSelected="1" workbookViewId="0">
      <selection activeCell="S3" sqref="S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C4C77-77BA-4E6F-84AF-010D5841FAD4}">
  <dimension ref="A1:O20"/>
  <sheetViews>
    <sheetView workbookViewId="0">
      <selection activeCell="Q14" sqref="Q14"/>
    </sheetView>
  </sheetViews>
  <sheetFormatPr defaultRowHeight="14.5" x14ac:dyDescent="0.35"/>
  <sheetData>
    <row r="1" spans="1:15" ht="23.5" x14ac:dyDescent="0.55000000000000004">
      <c r="A1" s="5" t="s">
        <v>75</v>
      </c>
    </row>
    <row r="3" spans="1:15" x14ac:dyDescent="0.35">
      <c r="A3" s="4" t="s">
        <v>76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</row>
    <row r="4" spans="1:15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35">
      <c r="A5" s="2" t="s">
        <v>78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5">
      <c r="A7" t="s">
        <v>79</v>
      </c>
    </row>
    <row r="9" spans="1:15" x14ac:dyDescent="0.35">
      <c r="A9" t="s">
        <v>77</v>
      </c>
    </row>
    <row r="12" spans="1:15" ht="23.5" x14ac:dyDescent="0.55000000000000004">
      <c r="A12" s="5" t="s">
        <v>80</v>
      </c>
    </row>
    <row r="14" spans="1:15" x14ac:dyDescent="0.35">
      <c r="A14" t="s">
        <v>81</v>
      </c>
    </row>
    <row r="16" spans="1:15" x14ac:dyDescent="0.35">
      <c r="A16" t="s">
        <v>82</v>
      </c>
    </row>
    <row r="18" spans="1:1" x14ac:dyDescent="0.35">
      <c r="A18" t="s">
        <v>83</v>
      </c>
    </row>
    <row r="20" spans="1:1" x14ac:dyDescent="0.35">
      <c r="A20" t="s">
        <v>84</v>
      </c>
    </row>
  </sheetData>
  <mergeCells count="1">
    <mergeCell ref="A3:N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F0F28-DACC-490C-9EFD-4F7E0779ED87}">
  <dimension ref="A1:J51"/>
  <sheetViews>
    <sheetView workbookViewId="0">
      <selection activeCell="L8" sqref="L8"/>
    </sheetView>
  </sheetViews>
  <sheetFormatPr defaultRowHeight="14.5" x14ac:dyDescent="0.35"/>
  <cols>
    <col min="1" max="1" width="12.81640625" customWidth="1"/>
    <col min="4" max="4" width="14.453125" customWidth="1"/>
    <col min="5" max="5" width="16.453125" customWidth="1"/>
    <col min="6" max="6" width="15.90625" customWidth="1"/>
    <col min="7" max="7" width="11.54296875" customWidth="1"/>
    <col min="8" max="8" width="18.7265625" customWidth="1"/>
    <col min="9" max="9" width="15.1796875" customWidth="1"/>
    <col min="10" max="10" width="13.3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67</v>
      </c>
      <c r="J1" t="s">
        <v>68</v>
      </c>
    </row>
    <row r="2" spans="1:10" x14ac:dyDescent="0.35">
      <c r="A2" t="s">
        <v>8</v>
      </c>
      <c r="B2" t="s">
        <v>58</v>
      </c>
      <c r="C2" t="s">
        <v>63</v>
      </c>
      <c r="D2">
        <v>45</v>
      </c>
      <c r="E2">
        <v>18</v>
      </c>
      <c r="F2">
        <v>2</v>
      </c>
      <c r="G2">
        <v>2</v>
      </c>
      <c r="H2">
        <v>3</v>
      </c>
      <c r="I2">
        <f>E2/D2</f>
        <v>0.4</v>
      </c>
      <c r="J2" t="str">
        <f>IF(F2&gt;10,"High risk","Normal")</f>
        <v>Normal</v>
      </c>
    </row>
    <row r="3" spans="1:10" x14ac:dyDescent="0.35">
      <c r="A3" t="s">
        <v>9</v>
      </c>
      <c r="B3" t="s">
        <v>59</v>
      </c>
      <c r="C3" t="s">
        <v>64</v>
      </c>
      <c r="D3">
        <v>47</v>
      </c>
      <c r="E3">
        <v>19</v>
      </c>
      <c r="F3">
        <v>5</v>
      </c>
      <c r="G3">
        <v>2</v>
      </c>
      <c r="H3">
        <v>3.2</v>
      </c>
      <c r="I3">
        <f t="shared" ref="I3:I52" si="0">E3/D3</f>
        <v>0.40425531914893614</v>
      </c>
      <c r="J3" t="str">
        <f t="shared" ref="J3:J51" si="1">IF(F3&gt;10,"High risk","Normal")</f>
        <v>Normal</v>
      </c>
    </row>
    <row r="4" spans="1:10" x14ac:dyDescent="0.35">
      <c r="A4" t="s">
        <v>10</v>
      </c>
      <c r="B4" t="s">
        <v>60</v>
      </c>
      <c r="C4" t="s">
        <v>65</v>
      </c>
      <c r="D4">
        <v>39</v>
      </c>
      <c r="E4">
        <v>12</v>
      </c>
      <c r="F4">
        <v>0</v>
      </c>
      <c r="G4">
        <v>3</v>
      </c>
      <c r="H4">
        <v>1.9</v>
      </c>
      <c r="I4">
        <f t="shared" si="0"/>
        <v>0.30769230769230771</v>
      </c>
      <c r="J4" t="str">
        <f t="shared" si="1"/>
        <v>Normal</v>
      </c>
    </row>
    <row r="5" spans="1:10" x14ac:dyDescent="0.35">
      <c r="A5" t="s">
        <v>11</v>
      </c>
      <c r="B5" t="s">
        <v>58</v>
      </c>
      <c r="C5" t="s">
        <v>65</v>
      </c>
      <c r="D5">
        <v>40</v>
      </c>
      <c r="E5">
        <v>12</v>
      </c>
      <c r="F5">
        <v>2</v>
      </c>
      <c r="G5">
        <v>2</v>
      </c>
      <c r="H5">
        <v>3</v>
      </c>
      <c r="I5">
        <f t="shared" si="0"/>
        <v>0.3</v>
      </c>
      <c r="J5" t="str">
        <f t="shared" si="1"/>
        <v>Normal</v>
      </c>
    </row>
    <row r="6" spans="1:10" x14ac:dyDescent="0.35">
      <c r="A6" t="s">
        <v>12</v>
      </c>
      <c r="B6" t="s">
        <v>58</v>
      </c>
      <c r="C6" t="s">
        <v>66</v>
      </c>
      <c r="D6">
        <v>60</v>
      </c>
      <c r="E6">
        <v>26</v>
      </c>
      <c r="F6">
        <v>12</v>
      </c>
      <c r="G6">
        <v>0</v>
      </c>
      <c r="H6">
        <v>4.7</v>
      </c>
      <c r="I6">
        <f t="shared" si="0"/>
        <v>0.43333333333333335</v>
      </c>
      <c r="J6" t="str">
        <f t="shared" si="1"/>
        <v>High risk</v>
      </c>
    </row>
    <row r="7" spans="1:10" x14ac:dyDescent="0.35">
      <c r="A7" t="s">
        <v>13</v>
      </c>
      <c r="B7" t="s">
        <v>58</v>
      </c>
      <c r="C7" t="s">
        <v>66</v>
      </c>
      <c r="D7">
        <v>39</v>
      </c>
      <c r="E7">
        <v>11</v>
      </c>
      <c r="F7">
        <v>2</v>
      </c>
      <c r="G7">
        <v>3</v>
      </c>
      <c r="H7">
        <v>2</v>
      </c>
      <c r="I7">
        <f t="shared" si="0"/>
        <v>0.28205128205128205</v>
      </c>
      <c r="J7" t="str">
        <f t="shared" si="1"/>
        <v>Normal</v>
      </c>
    </row>
    <row r="8" spans="1:10" x14ac:dyDescent="0.35">
      <c r="A8" t="s">
        <v>14</v>
      </c>
      <c r="B8" t="s">
        <v>61</v>
      </c>
      <c r="C8" t="s">
        <v>64</v>
      </c>
      <c r="D8">
        <v>45</v>
      </c>
      <c r="E8">
        <v>19</v>
      </c>
      <c r="F8">
        <v>7</v>
      </c>
      <c r="G8">
        <v>2</v>
      </c>
      <c r="H8">
        <v>3</v>
      </c>
      <c r="I8">
        <f t="shared" si="0"/>
        <v>0.42222222222222222</v>
      </c>
      <c r="J8" t="str">
        <f t="shared" si="1"/>
        <v>Normal</v>
      </c>
    </row>
    <row r="9" spans="1:10" x14ac:dyDescent="0.35">
      <c r="A9" t="s">
        <v>15</v>
      </c>
      <c r="B9" t="s">
        <v>58</v>
      </c>
      <c r="C9" t="s">
        <v>65</v>
      </c>
      <c r="D9">
        <v>55</v>
      </c>
      <c r="E9">
        <v>22</v>
      </c>
      <c r="F9">
        <v>10</v>
      </c>
      <c r="G9">
        <v>1</v>
      </c>
      <c r="H9">
        <v>4</v>
      </c>
      <c r="I9">
        <f t="shared" si="0"/>
        <v>0.4</v>
      </c>
      <c r="J9" t="str">
        <f t="shared" si="1"/>
        <v>Normal</v>
      </c>
    </row>
    <row r="10" spans="1:10" x14ac:dyDescent="0.35">
      <c r="A10" t="s">
        <v>16</v>
      </c>
      <c r="B10" t="s">
        <v>62</v>
      </c>
      <c r="C10" t="s">
        <v>66</v>
      </c>
      <c r="D10">
        <v>57</v>
      </c>
      <c r="E10">
        <v>24</v>
      </c>
      <c r="F10">
        <v>12</v>
      </c>
      <c r="G10">
        <v>1</v>
      </c>
      <c r="H10">
        <v>4.0999999999999996</v>
      </c>
      <c r="I10">
        <f t="shared" si="0"/>
        <v>0.42105263157894735</v>
      </c>
      <c r="J10" t="str">
        <f t="shared" si="1"/>
        <v>High risk</v>
      </c>
    </row>
    <row r="11" spans="1:10" x14ac:dyDescent="0.35">
      <c r="A11" t="s">
        <v>17</v>
      </c>
      <c r="B11" t="s">
        <v>60</v>
      </c>
      <c r="C11" t="s">
        <v>65</v>
      </c>
      <c r="D11">
        <v>56</v>
      </c>
      <c r="E11">
        <v>24</v>
      </c>
      <c r="F11">
        <v>12</v>
      </c>
      <c r="G11">
        <v>1</v>
      </c>
      <c r="H11">
        <v>4</v>
      </c>
      <c r="I11">
        <f t="shared" si="0"/>
        <v>0.42857142857142855</v>
      </c>
      <c r="J11" t="str">
        <f t="shared" si="1"/>
        <v>High risk</v>
      </c>
    </row>
    <row r="12" spans="1:10" x14ac:dyDescent="0.35">
      <c r="A12" t="s">
        <v>18</v>
      </c>
      <c r="B12" t="s">
        <v>59</v>
      </c>
      <c r="C12" t="s">
        <v>63</v>
      </c>
      <c r="D12">
        <v>53</v>
      </c>
      <c r="E12">
        <v>23</v>
      </c>
      <c r="F12">
        <v>9</v>
      </c>
      <c r="G12">
        <v>1</v>
      </c>
      <c r="H12">
        <v>3.9</v>
      </c>
      <c r="I12">
        <f t="shared" si="0"/>
        <v>0.43396226415094341</v>
      </c>
      <c r="J12" t="str">
        <f t="shared" si="1"/>
        <v>Normal</v>
      </c>
    </row>
    <row r="13" spans="1:10" x14ac:dyDescent="0.35">
      <c r="A13" t="s">
        <v>19</v>
      </c>
      <c r="B13" t="s">
        <v>59</v>
      </c>
      <c r="C13" t="s">
        <v>63</v>
      </c>
      <c r="D13">
        <v>62</v>
      </c>
      <c r="E13">
        <v>27</v>
      </c>
      <c r="F13">
        <v>17</v>
      </c>
      <c r="G13">
        <v>0</v>
      </c>
      <c r="H13">
        <v>4.8</v>
      </c>
      <c r="I13">
        <f t="shared" si="0"/>
        <v>0.43548387096774194</v>
      </c>
      <c r="J13" t="str">
        <f t="shared" si="1"/>
        <v>High risk</v>
      </c>
    </row>
    <row r="14" spans="1:10" x14ac:dyDescent="0.35">
      <c r="A14" t="s">
        <v>20</v>
      </c>
      <c r="B14" t="s">
        <v>58</v>
      </c>
      <c r="C14" t="s">
        <v>66</v>
      </c>
      <c r="D14">
        <v>60</v>
      </c>
      <c r="E14">
        <v>25</v>
      </c>
      <c r="F14">
        <v>15</v>
      </c>
      <c r="G14">
        <v>0</v>
      </c>
      <c r="H14">
        <v>4.5</v>
      </c>
      <c r="I14">
        <f t="shared" si="0"/>
        <v>0.41666666666666669</v>
      </c>
      <c r="J14" t="str">
        <f t="shared" si="1"/>
        <v>High risk</v>
      </c>
    </row>
    <row r="15" spans="1:10" x14ac:dyDescent="0.35">
      <c r="A15" t="s">
        <v>21</v>
      </c>
      <c r="B15" t="s">
        <v>62</v>
      </c>
      <c r="C15" t="s">
        <v>65</v>
      </c>
      <c r="D15">
        <v>39</v>
      </c>
      <c r="E15">
        <v>11</v>
      </c>
      <c r="F15">
        <v>0</v>
      </c>
      <c r="G15">
        <v>3</v>
      </c>
      <c r="H15">
        <v>2.2000000000000002</v>
      </c>
      <c r="I15">
        <f t="shared" si="0"/>
        <v>0.28205128205128205</v>
      </c>
      <c r="J15" t="str">
        <f t="shared" si="1"/>
        <v>Normal</v>
      </c>
    </row>
    <row r="16" spans="1:10" x14ac:dyDescent="0.35">
      <c r="A16" t="s">
        <v>22</v>
      </c>
      <c r="B16" t="s">
        <v>60</v>
      </c>
      <c r="C16" t="s">
        <v>63</v>
      </c>
      <c r="D16">
        <v>60</v>
      </c>
      <c r="E16">
        <v>20</v>
      </c>
      <c r="F16">
        <v>15</v>
      </c>
      <c r="G16">
        <v>1</v>
      </c>
      <c r="H16">
        <v>4.5</v>
      </c>
      <c r="I16">
        <f t="shared" si="0"/>
        <v>0.33333333333333331</v>
      </c>
      <c r="J16" t="str">
        <f t="shared" si="1"/>
        <v>High risk</v>
      </c>
    </row>
    <row r="17" spans="1:10" x14ac:dyDescent="0.35">
      <c r="A17" t="s">
        <v>23</v>
      </c>
      <c r="B17" t="s">
        <v>60</v>
      </c>
      <c r="C17" t="s">
        <v>66</v>
      </c>
      <c r="D17">
        <v>59</v>
      </c>
      <c r="E17">
        <v>22</v>
      </c>
      <c r="F17">
        <v>15</v>
      </c>
      <c r="G17">
        <v>1</v>
      </c>
      <c r="H17">
        <v>4.5</v>
      </c>
      <c r="I17">
        <f t="shared" si="0"/>
        <v>0.3728813559322034</v>
      </c>
      <c r="J17" t="str">
        <f t="shared" si="1"/>
        <v>High risk</v>
      </c>
    </row>
    <row r="18" spans="1:10" x14ac:dyDescent="0.35">
      <c r="A18" t="s">
        <v>24</v>
      </c>
      <c r="B18" t="s">
        <v>59</v>
      </c>
      <c r="C18" t="s">
        <v>64</v>
      </c>
      <c r="D18">
        <v>57</v>
      </c>
      <c r="E18">
        <v>20</v>
      </c>
      <c r="F18">
        <v>13</v>
      </c>
      <c r="G18">
        <v>1</v>
      </c>
      <c r="H18">
        <v>4.0999999999999996</v>
      </c>
      <c r="I18">
        <f t="shared" si="0"/>
        <v>0.35087719298245612</v>
      </c>
      <c r="J18" t="str">
        <f t="shared" si="1"/>
        <v>High risk</v>
      </c>
    </row>
    <row r="19" spans="1:10" x14ac:dyDescent="0.35">
      <c r="A19" t="s">
        <v>25</v>
      </c>
      <c r="B19" t="s">
        <v>59</v>
      </c>
      <c r="C19" t="s">
        <v>63</v>
      </c>
      <c r="D19">
        <v>51</v>
      </c>
      <c r="E19">
        <v>20</v>
      </c>
      <c r="F19">
        <v>8</v>
      </c>
      <c r="G19">
        <v>2</v>
      </c>
      <c r="H19">
        <v>3.8</v>
      </c>
      <c r="I19">
        <f t="shared" si="0"/>
        <v>0.39215686274509803</v>
      </c>
      <c r="J19" t="str">
        <f t="shared" si="1"/>
        <v>Normal</v>
      </c>
    </row>
    <row r="20" spans="1:10" x14ac:dyDescent="0.35">
      <c r="A20" t="s">
        <v>26</v>
      </c>
      <c r="B20" t="s">
        <v>58</v>
      </c>
      <c r="C20" t="s">
        <v>63</v>
      </c>
      <c r="D20">
        <v>41</v>
      </c>
      <c r="E20">
        <v>15</v>
      </c>
      <c r="F20">
        <v>2</v>
      </c>
      <c r="G20">
        <v>2</v>
      </c>
      <c r="H20">
        <v>2.6</v>
      </c>
      <c r="I20">
        <f t="shared" si="0"/>
        <v>0.36585365853658536</v>
      </c>
      <c r="J20" t="str">
        <f t="shared" si="1"/>
        <v>Normal</v>
      </c>
    </row>
    <row r="21" spans="1:10" x14ac:dyDescent="0.35">
      <c r="A21" t="s">
        <v>27</v>
      </c>
      <c r="B21" t="s">
        <v>58</v>
      </c>
      <c r="C21" t="s">
        <v>65</v>
      </c>
      <c r="D21">
        <v>49</v>
      </c>
      <c r="E21">
        <v>18</v>
      </c>
      <c r="F21">
        <v>8</v>
      </c>
      <c r="G21">
        <v>2</v>
      </c>
      <c r="H21">
        <v>3.8</v>
      </c>
      <c r="I21">
        <f t="shared" si="0"/>
        <v>0.36734693877551022</v>
      </c>
      <c r="J21" t="str">
        <f t="shared" si="1"/>
        <v>Normal</v>
      </c>
    </row>
    <row r="22" spans="1:10" x14ac:dyDescent="0.35">
      <c r="A22" t="s">
        <v>28</v>
      </c>
      <c r="B22" t="s">
        <v>62</v>
      </c>
      <c r="C22" t="s">
        <v>66</v>
      </c>
      <c r="D22">
        <v>39</v>
      </c>
      <c r="E22">
        <v>15</v>
      </c>
      <c r="F22">
        <v>3</v>
      </c>
      <c r="G22">
        <v>3</v>
      </c>
      <c r="H22">
        <v>1.9</v>
      </c>
      <c r="I22">
        <f t="shared" si="0"/>
        <v>0.38461538461538464</v>
      </c>
      <c r="J22" t="str">
        <f t="shared" si="1"/>
        <v>Normal</v>
      </c>
    </row>
    <row r="23" spans="1:10" x14ac:dyDescent="0.35">
      <c r="A23" t="s">
        <v>29</v>
      </c>
      <c r="B23" t="s">
        <v>62</v>
      </c>
      <c r="C23" t="s">
        <v>63</v>
      </c>
      <c r="D23">
        <v>49</v>
      </c>
      <c r="E23">
        <v>18</v>
      </c>
      <c r="F23">
        <v>7</v>
      </c>
      <c r="G23">
        <v>2</v>
      </c>
      <c r="H23">
        <v>3.9</v>
      </c>
      <c r="I23">
        <f t="shared" si="0"/>
        <v>0.36734693877551022</v>
      </c>
      <c r="J23" t="str">
        <f t="shared" si="1"/>
        <v>Normal</v>
      </c>
    </row>
    <row r="24" spans="1:10" x14ac:dyDescent="0.35">
      <c r="A24" t="s">
        <v>30</v>
      </c>
      <c r="B24" t="s">
        <v>58</v>
      </c>
      <c r="C24" t="s">
        <v>63</v>
      </c>
      <c r="D24">
        <v>63</v>
      </c>
      <c r="E24">
        <v>28</v>
      </c>
      <c r="F24">
        <v>18</v>
      </c>
      <c r="G24">
        <v>0</v>
      </c>
      <c r="H24">
        <v>4.7</v>
      </c>
      <c r="I24">
        <f t="shared" si="0"/>
        <v>0.44444444444444442</v>
      </c>
      <c r="J24" t="str">
        <f t="shared" si="1"/>
        <v>High risk</v>
      </c>
    </row>
    <row r="25" spans="1:10" x14ac:dyDescent="0.35">
      <c r="A25" t="s">
        <v>31</v>
      </c>
      <c r="B25" t="s">
        <v>60</v>
      </c>
      <c r="C25" t="s">
        <v>65</v>
      </c>
      <c r="D25">
        <v>53</v>
      </c>
      <c r="E25">
        <v>19</v>
      </c>
      <c r="F25">
        <v>9</v>
      </c>
      <c r="G25">
        <v>1</v>
      </c>
      <c r="H25">
        <v>4.0999999999999996</v>
      </c>
      <c r="I25">
        <f t="shared" si="0"/>
        <v>0.35849056603773582</v>
      </c>
      <c r="J25" t="str">
        <f t="shared" si="1"/>
        <v>Normal</v>
      </c>
    </row>
    <row r="26" spans="1:10" x14ac:dyDescent="0.35">
      <c r="A26" t="s">
        <v>32</v>
      </c>
      <c r="B26" t="s">
        <v>59</v>
      </c>
      <c r="C26" t="s">
        <v>65</v>
      </c>
      <c r="D26">
        <v>57</v>
      </c>
      <c r="E26">
        <v>19</v>
      </c>
      <c r="F26">
        <v>12</v>
      </c>
      <c r="G26">
        <v>0</v>
      </c>
      <c r="H26">
        <v>4.2</v>
      </c>
      <c r="I26">
        <f t="shared" si="0"/>
        <v>0.33333333333333331</v>
      </c>
      <c r="J26" t="str">
        <f t="shared" si="1"/>
        <v>High risk</v>
      </c>
    </row>
    <row r="27" spans="1:10" x14ac:dyDescent="0.35">
      <c r="A27" t="s">
        <v>33</v>
      </c>
      <c r="B27" t="s">
        <v>58</v>
      </c>
      <c r="C27" t="s">
        <v>63</v>
      </c>
      <c r="D27">
        <v>64</v>
      </c>
      <c r="E27">
        <v>28</v>
      </c>
      <c r="F27">
        <v>19</v>
      </c>
      <c r="G27">
        <v>0</v>
      </c>
      <c r="H27">
        <v>4.9000000000000004</v>
      </c>
      <c r="I27">
        <f t="shared" si="0"/>
        <v>0.4375</v>
      </c>
      <c r="J27" t="str">
        <f t="shared" si="1"/>
        <v>High risk</v>
      </c>
    </row>
    <row r="28" spans="1:10" x14ac:dyDescent="0.35">
      <c r="A28" t="s">
        <v>34</v>
      </c>
      <c r="B28" t="s">
        <v>58</v>
      </c>
      <c r="C28" t="s">
        <v>66</v>
      </c>
      <c r="D28">
        <v>39</v>
      </c>
      <c r="E28">
        <v>16</v>
      </c>
      <c r="F28">
        <v>3</v>
      </c>
      <c r="G28">
        <v>2</v>
      </c>
      <c r="H28">
        <v>2.2999999999999998</v>
      </c>
      <c r="I28">
        <f t="shared" si="0"/>
        <v>0.41025641025641024</v>
      </c>
      <c r="J28" t="str">
        <f t="shared" si="1"/>
        <v>Normal</v>
      </c>
    </row>
    <row r="29" spans="1:10" x14ac:dyDescent="0.35">
      <c r="A29" t="s">
        <v>35</v>
      </c>
      <c r="B29" t="s">
        <v>60</v>
      </c>
      <c r="C29" t="s">
        <v>65</v>
      </c>
      <c r="D29">
        <v>42</v>
      </c>
      <c r="E29">
        <v>17</v>
      </c>
      <c r="F29">
        <v>4</v>
      </c>
      <c r="G29">
        <v>2</v>
      </c>
      <c r="H29">
        <v>3.4</v>
      </c>
      <c r="I29">
        <f t="shared" si="0"/>
        <v>0.40476190476190477</v>
      </c>
      <c r="J29" t="str">
        <f t="shared" si="1"/>
        <v>Normal</v>
      </c>
    </row>
    <row r="30" spans="1:10" x14ac:dyDescent="0.35">
      <c r="A30" t="s">
        <v>36</v>
      </c>
      <c r="B30" t="s">
        <v>62</v>
      </c>
      <c r="C30" t="s">
        <v>65</v>
      </c>
      <c r="D30">
        <v>55</v>
      </c>
      <c r="E30">
        <v>20</v>
      </c>
      <c r="F30">
        <v>13</v>
      </c>
      <c r="G30">
        <v>1</v>
      </c>
      <c r="H30">
        <v>3.9</v>
      </c>
      <c r="I30">
        <f t="shared" si="0"/>
        <v>0.36363636363636365</v>
      </c>
      <c r="J30" t="str">
        <f t="shared" si="1"/>
        <v>High risk</v>
      </c>
    </row>
    <row r="31" spans="1:10" x14ac:dyDescent="0.35">
      <c r="A31" t="s">
        <v>37</v>
      </c>
      <c r="B31" t="s">
        <v>60</v>
      </c>
      <c r="C31" t="s">
        <v>66</v>
      </c>
      <c r="D31">
        <v>45</v>
      </c>
      <c r="E31">
        <v>18</v>
      </c>
      <c r="F31">
        <v>5</v>
      </c>
      <c r="G31">
        <v>2</v>
      </c>
      <c r="H31">
        <v>3.5</v>
      </c>
      <c r="I31">
        <f t="shared" si="0"/>
        <v>0.4</v>
      </c>
      <c r="J31" t="str">
        <f t="shared" si="1"/>
        <v>Normal</v>
      </c>
    </row>
    <row r="32" spans="1:10" x14ac:dyDescent="0.35">
      <c r="A32" t="s">
        <v>38</v>
      </c>
      <c r="B32" t="s">
        <v>59</v>
      </c>
      <c r="C32" t="s">
        <v>64</v>
      </c>
      <c r="D32">
        <v>60</v>
      </c>
      <c r="E32">
        <v>23</v>
      </c>
      <c r="F32">
        <v>17</v>
      </c>
      <c r="G32">
        <v>0</v>
      </c>
      <c r="H32">
        <v>4.5</v>
      </c>
      <c r="I32">
        <f t="shared" si="0"/>
        <v>0.38333333333333336</v>
      </c>
      <c r="J32" t="str">
        <f t="shared" si="1"/>
        <v>High risk</v>
      </c>
    </row>
    <row r="33" spans="1:10" x14ac:dyDescent="0.35">
      <c r="A33" t="s">
        <v>39</v>
      </c>
      <c r="B33" t="s">
        <v>62</v>
      </c>
      <c r="C33" t="s">
        <v>66</v>
      </c>
      <c r="D33">
        <v>42</v>
      </c>
      <c r="E33">
        <v>19</v>
      </c>
      <c r="F33">
        <v>4</v>
      </c>
      <c r="G33">
        <v>2</v>
      </c>
      <c r="H33">
        <v>3.8</v>
      </c>
      <c r="I33">
        <f t="shared" si="0"/>
        <v>0.45238095238095238</v>
      </c>
      <c r="J33" t="str">
        <f t="shared" si="1"/>
        <v>Normal</v>
      </c>
    </row>
    <row r="34" spans="1:10" x14ac:dyDescent="0.35">
      <c r="A34" t="s">
        <v>40</v>
      </c>
      <c r="B34" t="s">
        <v>62</v>
      </c>
      <c r="C34" t="s">
        <v>63</v>
      </c>
      <c r="D34">
        <v>47</v>
      </c>
      <c r="E34">
        <v>19</v>
      </c>
      <c r="F34">
        <v>7</v>
      </c>
      <c r="G34">
        <v>2</v>
      </c>
      <c r="H34">
        <v>3.9</v>
      </c>
      <c r="I34">
        <f t="shared" si="0"/>
        <v>0.40425531914893614</v>
      </c>
      <c r="J34" t="str">
        <f t="shared" si="1"/>
        <v>Normal</v>
      </c>
    </row>
    <row r="35" spans="1:10" x14ac:dyDescent="0.35">
      <c r="A35" t="s">
        <v>41</v>
      </c>
      <c r="B35" t="s">
        <v>62</v>
      </c>
      <c r="C35" t="s">
        <v>66</v>
      </c>
      <c r="D35">
        <v>56</v>
      </c>
      <c r="E35">
        <v>22</v>
      </c>
      <c r="F35">
        <v>12</v>
      </c>
      <c r="G35">
        <v>1</v>
      </c>
      <c r="H35">
        <v>4</v>
      </c>
      <c r="I35">
        <f t="shared" si="0"/>
        <v>0.39285714285714285</v>
      </c>
      <c r="J35" t="str">
        <f t="shared" si="1"/>
        <v>High risk</v>
      </c>
    </row>
    <row r="36" spans="1:10" x14ac:dyDescent="0.35">
      <c r="A36" t="s">
        <v>42</v>
      </c>
      <c r="B36" t="s">
        <v>58</v>
      </c>
      <c r="C36" t="s">
        <v>65</v>
      </c>
      <c r="D36">
        <v>43</v>
      </c>
      <c r="E36">
        <v>19</v>
      </c>
      <c r="F36">
        <v>4</v>
      </c>
      <c r="G36">
        <v>2</v>
      </c>
      <c r="H36">
        <v>3.5</v>
      </c>
      <c r="I36">
        <f t="shared" si="0"/>
        <v>0.44186046511627908</v>
      </c>
      <c r="J36" t="str">
        <f t="shared" si="1"/>
        <v>Normal</v>
      </c>
    </row>
    <row r="37" spans="1:10" x14ac:dyDescent="0.35">
      <c r="A37" t="s">
        <v>43</v>
      </c>
      <c r="B37" t="s">
        <v>59</v>
      </c>
      <c r="C37" t="s">
        <v>64</v>
      </c>
      <c r="D37">
        <v>52</v>
      </c>
      <c r="E37">
        <v>22</v>
      </c>
      <c r="F37">
        <v>12</v>
      </c>
      <c r="G37">
        <v>1</v>
      </c>
      <c r="H37">
        <v>3.9</v>
      </c>
      <c r="I37">
        <f t="shared" si="0"/>
        <v>0.42307692307692307</v>
      </c>
      <c r="J37" t="str">
        <f t="shared" si="1"/>
        <v>High risk</v>
      </c>
    </row>
    <row r="38" spans="1:10" x14ac:dyDescent="0.35">
      <c r="A38" t="s">
        <v>44</v>
      </c>
      <c r="B38" t="s">
        <v>59</v>
      </c>
      <c r="C38" t="s">
        <v>64</v>
      </c>
      <c r="D38">
        <v>37</v>
      </c>
      <c r="E38">
        <v>11</v>
      </c>
      <c r="F38">
        <v>0</v>
      </c>
      <c r="G38">
        <v>3</v>
      </c>
      <c r="H38">
        <v>1.5</v>
      </c>
      <c r="I38">
        <f t="shared" si="0"/>
        <v>0.29729729729729731</v>
      </c>
      <c r="J38" t="str">
        <f t="shared" si="1"/>
        <v>Normal</v>
      </c>
    </row>
    <row r="39" spans="1:10" x14ac:dyDescent="0.35">
      <c r="A39" t="s">
        <v>45</v>
      </c>
      <c r="B39" t="s">
        <v>60</v>
      </c>
      <c r="C39" t="s">
        <v>66</v>
      </c>
      <c r="D39">
        <v>49</v>
      </c>
      <c r="E39">
        <v>20</v>
      </c>
      <c r="F39">
        <v>7</v>
      </c>
      <c r="G39">
        <v>2</v>
      </c>
      <c r="H39">
        <v>3.8</v>
      </c>
      <c r="I39">
        <f t="shared" si="0"/>
        <v>0.40816326530612246</v>
      </c>
      <c r="J39" t="str">
        <f t="shared" si="1"/>
        <v>Normal</v>
      </c>
    </row>
    <row r="40" spans="1:10" x14ac:dyDescent="0.35">
      <c r="A40" t="s">
        <v>46</v>
      </c>
      <c r="B40" t="s">
        <v>58</v>
      </c>
      <c r="C40" t="s">
        <v>63</v>
      </c>
      <c r="D40">
        <v>48</v>
      </c>
      <c r="E40">
        <v>21</v>
      </c>
      <c r="F40">
        <v>5</v>
      </c>
      <c r="G40">
        <v>2</v>
      </c>
      <c r="H40">
        <v>3.8</v>
      </c>
      <c r="I40">
        <f t="shared" si="0"/>
        <v>0.4375</v>
      </c>
      <c r="J40" t="str">
        <f t="shared" si="1"/>
        <v>Normal</v>
      </c>
    </row>
    <row r="41" spans="1:10" x14ac:dyDescent="0.35">
      <c r="A41" t="s">
        <v>47</v>
      </c>
      <c r="B41" t="s">
        <v>62</v>
      </c>
      <c r="C41" t="s">
        <v>65</v>
      </c>
      <c r="D41">
        <v>54</v>
      </c>
      <c r="E41">
        <v>23</v>
      </c>
      <c r="F41">
        <v>9</v>
      </c>
      <c r="G41">
        <v>3</v>
      </c>
      <c r="H41">
        <v>4</v>
      </c>
      <c r="I41">
        <f t="shared" si="0"/>
        <v>0.42592592592592593</v>
      </c>
      <c r="J41" t="str">
        <f t="shared" si="1"/>
        <v>Normal</v>
      </c>
    </row>
    <row r="42" spans="1:10" x14ac:dyDescent="0.35">
      <c r="A42" t="s">
        <v>48</v>
      </c>
      <c r="B42" t="s">
        <v>62</v>
      </c>
      <c r="C42" t="s">
        <v>65</v>
      </c>
      <c r="D42">
        <v>44</v>
      </c>
      <c r="E42">
        <v>19</v>
      </c>
      <c r="F42">
        <v>5</v>
      </c>
      <c r="G42">
        <v>2</v>
      </c>
      <c r="H42">
        <v>3.5</v>
      </c>
      <c r="I42">
        <f t="shared" si="0"/>
        <v>0.43181818181818182</v>
      </c>
      <c r="J42" t="str">
        <f t="shared" si="1"/>
        <v>Normal</v>
      </c>
    </row>
    <row r="43" spans="1:10" x14ac:dyDescent="0.35">
      <c r="A43" t="s">
        <v>49</v>
      </c>
      <c r="B43" t="s">
        <v>59</v>
      </c>
      <c r="C43" t="s">
        <v>64</v>
      </c>
      <c r="D43">
        <v>48</v>
      </c>
      <c r="E43">
        <v>16</v>
      </c>
      <c r="F43">
        <v>7</v>
      </c>
      <c r="G43">
        <v>1</v>
      </c>
      <c r="H43">
        <v>3.7</v>
      </c>
      <c r="I43">
        <f t="shared" si="0"/>
        <v>0.33333333333333331</v>
      </c>
      <c r="J43" t="str">
        <f t="shared" si="1"/>
        <v>Normal</v>
      </c>
    </row>
    <row r="44" spans="1:10" x14ac:dyDescent="0.35">
      <c r="A44" t="s">
        <v>50</v>
      </c>
      <c r="B44" t="s">
        <v>59</v>
      </c>
      <c r="C44" t="s">
        <v>63</v>
      </c>
      <c r="D44">
        <v>50</v>
      </c>
      <c r="E44">
        <v>16</v>
      </c>
      <c r="F44">
        <v>8</v>
      </c>
      <c r="G44">
        <v>1</v>
      </c>
      <c r="H44">
        <v>3.9</v>
      </c>
      <c r="I44">
        <f t="shared" si="0"/>
        <v>0.32</v>
      </c>
      <c r="J44" t="str">
        <f t="shared" si="1"/>
        <v>Normal</v>
      </c>
    </row>
    <row r="45" spans="1:10" x14ac:dyDescent="0.35">
      <c r="A45" t="s">
        <v>51</v>
      </c>
      <c r="B45" t="s">
        <v>60</v>
      </c>
      <c r="C45" t="s">
        <v>65</v>
      </c>
      <c r="D45">
        <v>44</v>
      </c>
      <c r="E45">
        <v>22</v>
      </c>
      <c r="F45">
        <v>6</v>
      </c>
      <c r="G45">
        <v>1</v>
      </c>
      <c r="H45">
        <v>3.2</v>
      </c>
      <c r="I45">
        <f t="shared" si="0"/>
        <v>0.5</v>
      </c>
      <c r="J45" t="str">
        <f t="shared" si="1"/>
        <v>Normal</v>
      </c>
    </row>
    <row r="46" spans="1:10" x14ac:dyDescent="0.35">
      <c r="A46" t="s">
        <v>52</v>
      </c>
      <c r="B46" t="s">
        <v>60</v>
      </c>
      <c r="C46" t="s">
        <v>65</v>
      </c>
      <c r="D46">
        <v>43</v>
      </c>
      <c r="E46">
        <v>20</v>
      </c>
      <c r="F46">
        <v>5</v>
      </c>
      <c r="G46">
        <v>2</v>
      </c>
      <c r="H46">
        <v>3.1</v>
      </c>
      <c r="I46">
        <f t="shared" si="0"/>
        <v>0.46511627906976744</v>
      </c>
      <c r="J46" t="str">
        <f t="shared" si="1"/>
        <v>Normal</v>
      </c>
    </row>
    <row r="47" spans="1:10" x14ac:dyDescent="0.35">
      <c r="A47" t="s">
        <v>53</v>
      </c>
      <c r="B47" t="s">
        <v>58</v>
      </c>
      <c r="C47" t="s">
        <v>66</v>
      </c>
      <c r="D47">
        <v>37</v>
      </c>
      <c r="E47">
        <v>15</v>
      </c>
      <c r="F47">
        <v>0</v>
      </c>
      <c r="G47">
        <v>3</v>
      </c>
      <c r="H47">
        <v>1.7</v>
      </c>
      <c r="I47">
        <f t="shared" si="0"/>
        <v>0.40540540540540543</v>
      </c>
      <c r="J47" t="str">
        <f t="shared" si="1"/>
        <v>Normal</v>
      </c>
    </row>
    <row r="48" spans="1:10" x14ac:dyDescent="0.35">
      <c r="A48" t="s">
        <v>54</v>
      </c>
      <c r="B48" t="s">
        <v>58</v>
      </c>
      <c r="C48" t="s">
        <v>63</v>
      </c>
      <c r="D48">
        <v>55</v>
      </c>
      <c r="E48">
        <v>22</v>
      </c>
      <c r="F48">
        <v>10</v>
      </c>
      <c r="G48">
        <v>1</v>
      </c>
      <c r="H48">
        <v>4</v>
      </c>
      <c r="I48">
        <f t="shared" si="0"/>
        <v>0.4</v>
      </c>
      <c r="J48" t="str">
        <f t="shared" si="1"/>
        <v>Normal</v>
      </c>
    </row>
    <row r="49" spans="1:10" x14ac:dyDescent="0.35">
      <c r="A49" t="s">
        <v>55</v>
      </c>
      <c r="B49" t="s">
        <v>58</v>
      </c>
      <c r="C49" t="s">
        <v>66</v>
      </c>
      <c r="D49">
        <v>59</v>
      </c>
      <c r="E49">
        <v>24</v>
      </c>
      <c r="F49">
        <v>12</v>
      </c>
      <c r="G49">
        <v>1</v>
      </c>
      <c r="H49">
        <v>4.2</v>
      </c>
      <c r="I49">
        <f t="shared" si="0"/>
        <v>0.40677966101694918</v>
      </c>
      <c r="J49" t="str">
        <f t="shared" si="1"/>
        <v>High risk</v>
      </c>
    </row>
    <row r="50" spans="1:10" x14ac:dyDescent="0.35">
      <c r="A50" t="s">
        <v>56</v>
      </c>
      <c r="B50" t="s">
        <v>62</v>
      </c>
      <c r="C50" t="s">
        <v>63</v>
      </c>
      <c r="D50">
        <v>64</v>
      </c>
      <c r="E50">
        <v>26</v>
      </c>
      <c r="F50">
        <v>19</v>
      </c>
      <c r="G50">
        <v>0</v>
      </c>
      <c r="H50">
        <v>5</v>
      </c>
      <c r="I50">
        <f t="shared" si="0"/>
        <v>0.40625</v>
      </c>
      <c r="J50" t="str">
        <f t="shared" si="1"/>
        <v>High risk</v>
      </c>
    </row>
    <row r="51" spans="1:10" x14ac:dyDescent="0.35">
      <c r="A51" t="s">
        <v>57</v>
      </c>
      <c r="B51" t="s">
        <v>59</v>
      </c>
      <c r="C51" t="s">
        <v>64</v>
      </c>
      <c r="D51">
        <v>63</v>
      </c>
      <c r="E51">
        <v>26</v>
      </c>
      <c r="F51">
        <v>17</v>
      </c>
      <c r="G51">
        <v>0</v>
      </c>
      <c r="H51">
        <v>4.9000000000000004</v>
      </c>
      <c r="I51">
        <f t="shared" si="0"/>
        <v>0.41269841269841268</v>
      </c>
      <c r="J51" t="str">
        <f t="shared" si="1"/>
        <v>High risk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Team_Efficiency_Analysis</vt:lpstr>
      <vt:lpstr>Burnout_Risk_Analysis</vt:lpstr>
      <vt:lpstr>DashBoard</vt:lpstr>
      <vt:lpstr>Insights and Recommendations</vt:lpstr>
      <vt:lpstr>Employee_Data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AN</dc:creator>
  <cp:lastModifiedBy>Aishwarya AN</cp:lastModifiedBy>
  <dcterms:created xsi:type="dcterms:W3CDTF">2026-01-21T10:33:52Z</dcterms:created>
  <dcterms:modified xsi:type="dcterms:W3CDTF">2026-01-21T13:27:44Z</dcterms:modified>
</cp:coreProperties>
</file>